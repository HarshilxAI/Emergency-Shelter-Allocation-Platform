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Task Deta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<sst xmlns="http://schemas.openxmlformats.org/spreadsheetml/2006/main" count="122" uniqueCount="71">
  <si>
    <t xml:space="preserve">Emergency Shelter Allocation Platform — Project Gantt Chart (Phase 1 Prototype, Odd Semester 2026)</t>
  </si>
  <si>
    <t xml:space="preserve">Course: CSS7102  |  Team: Sharan (Lead), Harshil Gurjar, Suhas  |  Guide: Mr. Irfan Rajab Bhat  |  Presidency University</t>
  </si>
  <si>
    <t xml:space="preserve">#</t>
  </si>
  <si>
    <t xml:space="preserve">Task</t>
  </si>
  <si>
    <t xml:space="preserve">Owner</t>
  </si>
  <si>
    <t xml:space="preserve">Start</t>
  </si>
  <si>
    <t xml:space="preserve">End</t>
  </si>
  <si>
    <t xml:space="preserve">Days</t>
  </si>
  <si>
    <t xml:space="preserve">W1
03 Aug</t>
  </si>
  <si>
    <t xml:space="preserve">W2
10 Aug</t>
  </si>
  <si>
    <t xml:space="preserve">W3
17 Aug</t>
  </si>
  <si>
    <t xml:space="preserve">W4
24 Aug</t>
  </si>
  <si>
    <t xml:space="preserve">W5
31 Aug</t>
  </si>
  <si>
    <t xml:space="preserve">W6
07 Sep</t>
  </si>
  <si>
    <t xml:space="preserve">W7
14 Sep</t>
  </si>
  <si>
    <t xml:space="preserve">W8
21 Sep</t>
  </si>
  <si>
    <t xml:space="preserve">W9
28 Sep</t>
  </si>
  <si>
    <t xml:space="preserve">W10
05 Oct</t>
  </si>
  <si>
    <t xml:space="preserve">W11
12 Oct</t>
  </si>
  <si>
    <t xml:space="preserve">W12
19 Oct</t>
  </si>
  <si>
    <t xml:space="preserve">W13
26 Oct</t>
  </si>
  <si>
    <t xml:space="preserve">W14
02 Nov</t>
  </si>
  <si>
    <t xml:space="preserve">W15
09 Nov</t>
  </si>
  <si>
    <t xml:space="preserve">W16
16 Nov</t>
  </si>
  <si>
    <t xml:space="preserve">W17
23 Nov</t>
  </si>
  <si>
    <t xml:space="preserve">Problem study, background reading &amp; Literature Review</t>
  </si>
  <si>
    <t xml:space="preserve">All members</t>
  </si>
  <si>
    <t xml:space="preserve">Requirement gathering &amp; Architecture finalisation</t>
  </si>
  <si>
    <t xml:space="preserve">REVIEW 1 — Literature Review, Architecture, Expected Output, Gantt Chart</t>
  </si>
  <si>
    <t xml:space="preserve">◆</t>
  </si>
  <si>
    <t xml:space="preserve">Dataset &amp; API setup (Bhuvan, IMD, Census/WorldPop, OSM Overpass, ORS)</t>
  </si>
  <si>
    <t xml:space="preserve">Harshil Gurjar</t>
  </si>
  <si>
    <t xml:space="preserve">Stage 0–1: Disaster event init + Shelter discovery &amp; suitability scoring</t>
  </si>
  <si>
    <t xml:space="preserve">Stage 2–3: Population/demand input + Distance calculation (ORS)</t>
  </si>
  <si>
    <t xml:space="preserve">Suhas</t>
  </si>
  <si>
    <t xml:space="preserve">Stage 4: Optimization / allocation engine (PuLP linear program)</t>
  </si>
  <si>
    <t xml:space="preserve">Sharan (Lead)</t>
  </si>
  <si>
    <t xml:space="preserve">Stage 5: Persistence layer — SQLite transactional writes</t>
  </si>
  <si>
    <t xml:space="preserve">REVIEW 2 — Working prototype demo (Stages 0–5)</t>
  </si>
  <si>
    <t xml:space="preserve">Stage 6–7: Visualization (Folium) + Streamlit dashboard</t>
  </si>
  <si>
    <t xml:space="preserve">Assam flood backtesting &amp; sensitivity analysis</t>
  </si>
  <si>
    <t xml:space="preserve">Testing, bug fixing &amp; performance tuning</t>
  </si>
  <si>
    <t xml:space="preserve">Documentation &amp; report writing</t>
  </si>
  <si>
    <t xml:space="preserve">FINAL REVIEW — Full demo &amp; submission</t>
  </si>
  <si>
    <t xml:space="preserve">Legend</t>
  </si>
  <si>
    <t xml:space="preserve">  </t>
  </si>
  <si>
    <t xml:space="preserve">Literature Review / Study</t>
  </si>
  <si>
    <t xml:space="preserve">Architecture / Design</t>
  </si>
  <si>
    <t xml:space="preserve">Data &amp; API Setup</t>
  </si>
  <si>
    <t xml:space="preserve">Build / Development</t>
  </si>
  <si>
    <t xml:space="preserve">Testing &amp; Validation</t>
  </si>
  <si>
    <t xml:space="preserve">Documentation</t>
  </si>
  <si>
    <t xml:space="preserve">Review milestone (Review 1 / Review 2 / Final Review)</t>
  </si>
  <si>
    <t xml:space="preserve">Note: Review 1 is fixed at 29 Aug 2026 per the department schedule. Review 2 (17 Oct 2026) and the Final Review (28 Nov 2026) are planning assumptions on a standard Aug–Dec odd-semester calendar — update these two dates and the bars will need re-shading once your department confirms the actual dates.</t>
  </si>
  <si>
    <t xml:space="preserve">Duration (days)</t>
  </si>
  <si>
    <t xml:space="preserve">Key Deliverable / Exit Criterion</t>
  </si>
  <si>
    <t xml:space="preserve">Annotated reference list; problem statement finalised</t>
  </si>
  <si>
    <t xml:space="preserve">Finalised 8-stage pipeline + 5-layer architecture + DB schema</t>
  </si>
  <si>
    <t xml:space="preserve">20-mark departmental review — 4 documents presented</t>
  </si>
  <si>
    <t xml:space="preserve">Working Overpass/ORS/Bhuvan pulls for pilot district; API keys configured</t>
  </si>
  <si>
    <t xml:space="preserve">Filtered, scored, capacity-estimated shelter list in shelters table</t>
  </si>
  <si>
    <t xml:space="preserve">Distance matrix (top-N shelters/group) with ORS + haversine fallback</t>
  </si>
  <si>
    <t xml:space="preserve">PuLP model returns feasible allocation + waitlist on over-demand</t>
  </si>
  <si>
    <t xml:space="preserve">Allocations, occupancy &amp; status updates committed transactionally</t>
  </si>
  <si>
    <t xml:space="preserve">Departmental progress review — live demo of Stages 0–5</t>
  </si>
  <si>
    <t xml:space="preserve">Folium map + Streamlit UI wired to live DB reads</t>
  </si>
  <si>
    <t xml:space="preserve">Backtest report comparing model vs. actual Assam flood shelters</t>
  </si>
  <si>
    <t xml:space="preserve">Bug-free run across sample events; solver performance acceptable</t>
  </si>
  <si>
    <t xml:space="preserve">Final project report drafted, reviewed and formatted</t>
  </si>
  <si>
    <t xml:space="preserve">Final departmental review — full pipeline demo + report submission</t>
  </si>
  <si>
    <t xml:space="preserve">Total project span (Week 1 start → Final Review):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</si>
</sst>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.5"/>
      <color rgb="FF40404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.5"/>
      <color rgb="FF000000"/>
      <name val="Arial"/>
      <family val="0"/>
      <charset val="1"/>
    </font>
    <font>
      <sz val="8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404040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8E8E8"/>
        <bgColor rgb="FFDCDCDC"/>
      </patternFill>
    </fill>
    <fill>
      <patternFill patternType="solid">
        <fgColor rgb="FFDCDCDC"/>
        <bgColor rgb="FFE8E8E8"/>
      </patternFill>
    </fill>
    <fill>
      <patternFill patternType="solid">
        <fgColor rgb="FFD0D0D0"/>
        <bgColor rgb="FFDCDCDC"/>
      </patternFill>
    </fill>
    <fill>
      <patternFill patternType="solid">
        <fgColor rgb="FFC4C4C4"/>
        <bgColor rgb="FFBFBFBF"/>
      </patternFill>
    </fill>
    <fill>
      <patternFill patternType="solid">
        <fgColor rgb="FFB8B8B8"/>
        <bgColor rgb="FFBFBFBF"/>
      </patternFill>
    </fill>
    <fill>
      <patternFill patternType="solid">
        <fgColor rgb="FFACACAC"/>
        <bgColor rgb="FFB8B8B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CDC"/>
      <rgbColor rgb="FFFFFF99"/>
      <rgbColor rgb="FFC4C4C4"/>
      <rgbColor rgb="FFFF99CC"/>
      <rgbColor rgb="FFB8B8B8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CACAC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23" min="7" style="0" width="5.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customFormat="false" ht="25.5" hidden="false" customHeight="true" outlineLevel="0" collapsed="false">
      <c r="A5" s="5" t="n">
        <v>1</v>
      </c>
      <c r="B5" s="6" t="s">
        <v>25</v>
      </c>
      <c r="C5" s="5" t="s">
        <v>26</v>
      </c>
      <c r="D5" s="7" t="n">
        <v>46237</v>
      </c>
      <c r="E5" s="7" t="n">
        <v>46257</v>
      </c>
      <c r="F5" s="8" t="n">
        <f aca="false">E5-D5+1</f>
        <v>21</v>
      </c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customFormat="false" ht="25.5" hidden="false" customHeight="true" outlineLevel="0" collapsed="false">
      <c r="A6" s="5" t="n">
        <v>2</v>
      </c>
      <c r="B6" s="6" t="s">
        <v>27</v>
      </c>
      <c r="C6" s="5" t="s">
        <v>26</v>
      </c>
      <c r="D6" s="7" t="n">
        <v>46244</v>
      </c>
      <c r="E6" s="7" t="n">
        <v>46262</v>
      </c>
      <c r="F6" s="8" t="n">
        <f aca="false">E6-D6+1</f>
        <v>19</v>
      </c>
      <c r="G6" s="10"/>
      <c r="H6" s="11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customFormat="false" ht="25.5" hidden="false" customHeight="true" outlineLevel="0" collapsed="false">
      <c r="A7" s="5" t="n">
        <v>3</v>
      </c>
      <c r="B7" s="12" t="s">
        <v>28</v>
      </c>
      <c r="C7" s="5" t="s">
        <v>26</v>
      </c>
      <c r="D7" s="7" t="n">
        <v>46263</v>
      </c>
      <c r="E7" s="7" t="n">
        <v>46263</v>
      </c>
      <c r="F7" s="8" t="n">
        <f aca="false">E7-D7+1</f>
        <v>1</v>
      </c>
      <c r="G7" s="10"/>
      <c r="H7" s="10"/>
      <c r="I7" s="13" t="s">
        <v>29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customFormat="false" ht="25.5" hidden="false" customHeight="true" outlineLevel="0" collapsed="false">
      <c r="A8" s="5" t="n">
        <v>4</v>
      </c>
      <c r="B8" s="6" t="s">
        <v>30</v>
      </c>
      <c r="C8" s="5" t="s">
        <v>31</v>
      </c>
      <c r="D8" s="7" t="n">
        <v>46258</v>
      </c>
      <c r="E8" s="7" t="n">
        <v>46271</v>
      </c>
      <c r="F8" s="8" t="n">
        <f aca="false">E8-D8+1</f>
        <v>14</v>
      </c>
      <c r="G8" s="10"/>
      <c r="H8" s="10"/>
      <c r="I8" s="10"/>
      <c r="J8" s="14"/>
      <c r="K8" s="14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customFormat="false" ht="25.5" hidden="false" customHeight="true" outlineLevel="0" collapsed="false">
      <c r="A9" s="5" t="n">
        <v>5</v>
      </c>
      <c r="B9" s="6" t="s">
        <v>32</v>
      </c>
      <c r="C9" s="5" t="s">
        <v>31</v>
      </c>
      <c r="D9" s="7" t="n">
        <v>46265</v>
      </c>
      <c r="E9" s="7" t="n">
        <v>46278</v>
      </c>
      <c r="F9" s="8" t="n">
        <f aca="false">E9-D9+1</f>
        <v>14</v>
      </c>
      <c r="G9" s="10"/>
      <c r="H9" s="10"/>
      <c r="I9" s="10"/>
      <c r="J9" s="10"/>
      <c r="K9" s="15"/>
      <c r="L9" s="15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customFormat="false" ht="25.5" hidden="false" customHeight="true" outlineLevel="0" collapsed="false">
      <c r="A10" s="5" t="n">
        <v>6</v>
      </c>
      <c r="B10" s="6" t="s">
        <v>33</v>
      </c>
      <c r="C10" s="5" t="s">
        <v>34</v>
      </c>
      <c r="D10" s="7" t="n">
        <v>46279</v>
      </c>
      <c r="E10" s="7" t="n">
        <v>46292</v>
      </c>
      <c r="F10" s="8" t="n">
        <f aca="false">E10-D10+1</f>
        <v>14</v>
      </c>
      <c r="G10" s="10"/>
      <c r="H10" s="10"/>
      <c r="I10" s="10"/>
      <c r="J10" s="10"/>
      <c r="K10" s="10"/>
      <c r="L10" s="10"/>
      <c r="M10" s="15"/>
      <c r="N10" s="15"/>
      <c r="O10" s="10"/>
      <c r="P10" s="10"/>
      <c r="Q10" s="10"/>
      <c r="R10" s="10"/>
      <c r="S10" s="10"/>
      <c r="T10" s="10"/>
      <c r="U10" s="10"/>
      <c r="V10" s="10"/>
      <c r="W10" s="10"/>
    </row>
    <row r="11" customFormat="false" ht="25.5" hidden="false" customHeight="true" outlineLevel="0" collapsed="false">
      <c r="A11" s="5" t="n">
        <v>7</v>
      </c>
      <c r="B11" s="6" t="s">
        <v>35</v>
      </c>
      <c r="C11" s="5" t="s">
        <v>36</v>
      </c>
      <c r="D11" s="7" t="n">
        <v>46293</v>
      </c>
      <c r="E11" s="7" t="n">
        <v>46306</v>
      </c>
      <c r="F11" s="8" t="n">
        <f aca="false">E11-D11+1</f>
        <v>14</v>
      </c>
      <c r="G11" s="10"/>
      <c r="H11" s="10"/>
      <c r="I11" s="10"/>
      <c r="J11" s="10"/>
      <c r="K11" s="10"/>
      <c r="L11" s="10"/>
      <c r="M11" s="10"/>
      <c r="N11" s="10"/>
      <c r="O11" s="15"/>
      <c r="P11" s="15"/>
      <c r="Q11" s="10"/>
      <c r="R11" s="10"/>
      <c r="S11" s="10"/>
      <c r="T11" s="10"/>
      <c r="U11" s="10"/>
      <c r="V11" s="10"/>
      <c r="W11" s="10"/>
    </row>
    <row r="12" customFormat="false" ht="25.5" hidden="false" customHeight="true" outlineLevel="0" collapsed="false">
      <c r="A12" s="5" t="n">
        <v>8</v>
      </c>
      <c r="B12" s="6" t="s">
        <v>37</v>
      </c>
      <c r="C12" s="5" t="s">
        <v>34</v>
      </c>
      <c r="D12" s="7" t="n">
        <v>46300</v>
      </c>
      <c r="E12" s="7" t="n">
        <v>46313</v>
      </c>
      <c r="F12" s="8" t="n">
        <f aca="false">E12-D12+1</f>
        <v>14</v>
      </c>
      <c r="G12" s="10"/>
      <c r="H12" s="10"/>
      <c r="I12" s="10"/>
      <c r="J12" s="10"/>
      <c r="K12" s="10"/>
      <c r="L12" s="10"/>
      <c r="M12" s="10"/>
      <c r="N12" s="10"/>
      <c r="O12" s="10"/>
      <c r="P12" s="15"/>
      <c r="Q12" s="15"/>
      <c r="R12" s="10"/>
      <c r="S12" s="10"/>
      <c r="T12" s="10"/>
      <c r="U12" s="10"/>
      <c r="V12" s="10"/>
      <c r="W12" s="10"/>
    </row>
    <row r="13" customFormat="false" ht="25.5" hidden="false" customHeight="true" outlineLevel="0" collapsed="false">
      <c r="A13" s="5" t="n">
        <v>9</v>
      </c>
      <c r="B13" s="12" t="s">
        <v>38</v>
      </c>
      <c r="C13" s="5" t="s">
        <v>26</v>
      </c>
      <c r="D13" s="7" t="n">
        <v>46312</v>
      </c>
      <c r="E13" s="7" t="n">
        <v>46312</v>
      </c>
      <c r="F13" s="8" t="n">
        <f aca="false">E13-D13+1</f>
        <v>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3" t="s">
        <v>29</v>
      </c>
      <c r="R13" s="10"/>
      <c r="S13" s="10"/>
      <c r="T13" s="10"/>
      <c r="U13" s="10"/>
      <c r="V13" s="10"/>
      <c r="W13" s="10"/>
    </row>
    <row r="14" customFormat="false" ht="25.5" hidden="false" customHeight="true" outlineLevel="0" collapsed="false">
      <c r="A14" s="5" t="n">
        <v>10</v>
      </c>
      <c r="B14" s="6" t="s">
        <v>39</v>
      </c>
      <c r="C14" s="5" t="s">
        <v>31</v>
      </c>
      <c r="D14" s="7" t="n">
        <v>46314</v>
      </c>
      <c r="E14" s="7" t="n">
        <v>46327</v>
      </c>
      <c r="F14" s="8" t="n">
        <f aca="false">E14-D14+1</f>
        <v>14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5"/>
      <c r="S14" s="15"/>
      <c r="T14" s="10"/>
      <c r="U14" s="10"/>
      <c r="V14" s="10"/>
      <c r="W14" s="10"/>
    </row>
    <row r="15" customFormat="false" ht="25.5" hidden="false" customHeight="true" outlineLevel="0" collapsed="false">
      <c r="A15" s="5" t="n">
        <v>11</v>
      </c>
      <c r="B15" s="6" t="s">
        <v>40</v>
      </c>
      <c r="C15" s="5" t="s">
        <v>36</v>
      </c>
      <c r="D15" s="7" t="n">
        <v>46328</v>
      </c>
      <c r="E15" s="7" t="n">
        <v>46334</v>
      </c>
      <c r="F15" s="8" t="n">
        <f aca="false">E15-D15+1</f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6"/>
      <c r="U15" s="10"/>
      <c r="V15" s="10"/>
      <c r="W15" s="10"/>
    </row>
    <row r="16" customFormat="false" ht="25.5" hidden="false" customHeight="true" outlineLevel="0" collapsed="false">
      <c r="A16" s="5" t="n">
        <v>12</v>
      </c>
      <c r="B16" s="6" t="s">
        <v>41</v>
      </c>
      <c r="C16" s="5" t="s">
        <v>34</v>
      </c>
      <c r="D16" s="7" t="n">
        <v>46335</v>
      </c>
      <c r="E16" s="7" t="n">
        <v>46341</v>
      </c>
      <c r="F16" s="8" t="n">
        <f aca="false">E16-D16+1</f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6"/>
      <c r="V16" s="10"/>
      <c r="W16" s="10"/>
    </row>
    <row r="17" customFormat="false" ht="25.5" hidden="false" customHeight="true" outlineLevel="0" collapsed="false">
      <c r="A17" s="5" t="n">
        <v>13</v>
      </c>
      <c r="B17" s="6" t="s">
        <v>42</v>
      </c>
      <c r="C17" s="5" t="s">
        <v>36</v>
      </c>
      <c r="D17" s="7" t="n">
        <v>46335</v>
      </c>
      <c r="E17" s="7" t="n">
        <v>46348</v>
      </c>
      <c r="F17" s="8" t="n">
        <f aca="false">E17-D17+1</f>
        <v>14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7"/>
      <c r="V17" s="17"/>
      <c r="W17" s="10"/>
    </row>
    <row r="18" customFormat="false" ht="25.5" hidden="false" customHeight="true" outlineLevel="0" collapsed="false">
      <c r="A18" s="5" t="n">
        <v>14</v>
      </c>
      <c r="B18" s="12" t="s">
        <v>43</v>
      </c>
      <c r="C18" s="5" t="s">
        <v>26</v>
      </c>
      <c r="D18" s="7" t="n">
        <v>46354</v>
      </c>
      <c r="E18" s="7" t="n">
        <v>46354</v>
      </c>
      <c r="F18" s="8" t="n">
        <f aca="false">E18-D18+1</f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3" t="s">
        <v>29</v>
      </c>
    </row>
    <row r="20" customFormat="false" ht="15" hidden="false" customHeight="false" outlineLevel="0" collapsed="false">
      <c r="A20" s="18" t="s">
        <v>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Format="false" ht="15" hidden="false" customHeight="false" outlineLevel="0" collapsed="false">
      <c r="A21" s="9" t="s">
        <v>45</v>
      </c>
      <c r="B21" s="19" t="s">
        <v>46</v>
      </c>
      <c r="D21" s="11" t="s">
        <v>45</v>
      </c>
      <c r="E21" s="19" t="s">
        <v>47</v>
      </c>
      <c r="G21" s="14" t="s">
        <v>45</v>
      </c>
      <c r="H21" s="19" t="s">
        <v>48</v>
      </c>
      <c r="J21" s="15" t="s">
        <v>45</v>
      </c>
      <c r="K21" s="19" t="s">
        <v>49</v>
      </c>
      <c r="M21" s="16" t="s">
        <v>45</v>
      </c>
      <c r="N21" s="19" t="s">
        <v>50</v>
      </c>
      <c r="P21" s="17" t="s">
        <v>45</v>
      </c>
      <c r="Q21" s="19" t="s">
        <v>51</v>
      </c>
    </row>
    <row r="22" customFormat="false" ht="15" hidden="false" customHeight="false" outlineLevel="0" collapsed="false">
      <c r="A22" s="20" t="s">
        <v>29</v>
      </c>
      <c r="B22" s="19" t="s">
        <v>52</v>
      </c>
    </row>
    <row r="24" customFormat="false" ht="15" hidden="false" customHeight="true" outlineLevel="0" collapsed="false">
      <c r="A24" s="21" t="s">
        <v>53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</sheetData>
  <mergeCells count="4">
    <mergeCell ref="A1:W1"/>
    <mergeCell ref="A2:W2"/>
    <mergeCell ref="A20:W20"/>
    <mergeCell ref="A24:W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27.75" hidden="false" customHeight="true" outlineLevel="0" collapsed="false">
      <c r="A1" s="22" t="s">
        <v>2</v>
      </c>
      <c r="B1" s="22" t="s">
        <v>3</v>
      </c>
      <c r="C1" s="22" t="s">
        <v>4</v>
      </c>
      <c r="D1" s="22" t="s">
        <v>5</v>
      </c>
      <c r="E1" s="22" t="s">
        <v>6</v>
      </c>
      <c r="F1" s="22" t="s">
        <v>54</v>
      </c>
      <c r="G1" s="22" t="s">
        <v>55</v>
      </c>
    </row>
    <row r="2" customFormat="false" ht="30" hidden="false" customHeight="true" outlineLevel="0" collapsed="false">
      <c r="A2" s="23" t="n">
        <v>1</v>
      </c>
      <c r="B2" s="24" t="s">
        <v>25</v>
      </c>
      <c r="C2" s="23" t="s">
        <v>26</v>
      </c>
      <c r="D2" s="25" t="n">
        <v>46237</v>
      </c>
      <c r="E2" s="25" t="n">
        <v>46257</v>
      </c>
      <c r="F2" s="26" t="n">
        <f aca="false">E2-D2+1</f>
        <v>21</v>
      </c>
      <c r="G2" s="27" t="s">
        <v>56</v>
      </c>
    </row>
    <row r="3" customFormat="false" ht="30" hidden="false" customHeight="true" outlineLevel="0" collapsed="false">
      <c r="A3" s="23" t="n">
        <v>2</v>
      </c>
      <c r="B3" s="24" t="s">
        <v>27</v>
      </c>
      <c r="C3" s="23" t="s">
        <v>26</v>
      </c>
      <c r="D3" s="25" t="n">
        <v>46244</v>
      </c>
      <c r="E3" s="25" t="n">
        <v>46262</v>
      </c>
      <c r="F3" s="26" t="n">
        <f aca="false">E3-D3+1</f>
        <v>19</v>
      </c>
      <c r="G3" s="27" t="s">
        <v>57</v>
      </c>
    </row>
    <row r="4" customFormat="false" ht="30" hidden="false" customHeight="true" outlineLevel="0" collapsed="false">
      <c r="A4" s="23" t="n">
        <v>3</v>
      </c>
      <c r="B4" s="24" t="s">
        <v>28</v>
      </c>
      <c r="C4" s="23" t="s">
        <v>26</v>
      </c>
      <c r="D4" s="25" t="n">
        <v>46263</v>
      </c>
      <c r="E4" s="25" t="n">
        <v>46263</v>
      </c>
      <c r="F4" s="26" t="n">
        <f aca="false">E4-D4+1</f>
        <v>1</v>
      </c>
      <c r="G4" s="27" t="s">
        <v>58</v>
      </c>
    </row>
    <row r="5" customFormat="false" ht="30" hidden="false" customHeight="true" outlineLevel="0" collapsed="false">
      <c r="A5" s="23" t="n">
        <v>4</v>
      </c>
      <c r="B5" s="24" t="s">
        <v>30</v>
      </c>
      <c r="C5" s="23" t="s">
        <v>31</v>
      </c>
      <c r="D5" s="25" t="n">
        <v>46258</v>
      </c>
      <c r="E5" s="25" t="n">
        <v>46271</v>
      </c>
      <c r="F5" s="26" t="n">
        <f aca="false">E5-D5+1</f>
        <v>14</v>
      </c>
      <c r="G5" s="27" t="s">
        <v>59</v>
      </c>
    </row>
    <row r="6" customFormat="false" ht="30" hidden="false" customHeight="true" outlineLevel="0" collapsed="false">
      <c r="A6" s="23" t="n">
        <v>5</v>
      </c>
      <c r="B6" s="24" t="s">
        <v>32</v>
      </c>
      <c r="C6" s="23" t="s">
        <v>31</v>
      </c>
      <c r="D6" s="25" t="n">
        <v>46265</v>
      </c>
      <c r="E6" s="25" t="n">
        <v>46278</v>
      </c>
      <c r="F6" s="26" t="n">
        <f aca="false">E6-D6+1</f>
        <v>14</v>
      </c>
      <c r="G6" s="27" t="s">
        <v>60</v>
      </c>
    </row>
    <row r="7" customFormat="false" ht="30" hidden="false" customHeight="true" outlineLevel="0" collapsed="false">
      <c r="A7" s="23" t="n">
        <v>6</v>
      </c>
      <c r="B7" s="24" t="s">
        <v>33</v>
      </c>
      <c r="C7" s="23" t="s">
        <v>34</v>
      </c>
      <c r="D7" s="25" t="n">
        <v>46279</v>
      </c>
      <c r="E7" s="25" t="n">
        <v>46292</v>
      </c>
      <c r="F7" s="26" t="n">
        <f aca="false">E7-D7+1</f>
        <v>14</v>
      </c>
      <c r="G7" s="27" t="s">
        <v>61</v>
      </c>
    </row>
    <row r="8" customFormat="false" ht="30" hidden="false" customHeight="true" outlineLevel="0" collapsed="false">
      <c r="A8" s="23" t="n">
        <v>7</v>
      </c>
      <c r="B8" s="24" t="s">
        <v>35</v>
      </c>
      <c r="C8" s="23" t="s">
        <v>36</v>
      </c>
      <c r="D8" s="25" t="n">
        <v>46293</v>
      </c>
      <c r="E8" s="25" t="n">
        <v>46306</v>
      </c>
      <c r="F8" s="26" t="n">
        <f aca="false">E8-D8+1</f>
        <v>14</v>
      </c>
      <c r="G8" s="27" t="s">
        <v>62</v>
      </c>
    </row>
    <row r="9" customFormat="false" ht="30" hidden="false" customHeight="true" outlineLevel="0" collapsed="false">
      <c r="A9" s="23" t="n">
        <v>8</v>
      </c>
      <c r="B9" s="24" t="s">
        <v>37</v>
      </c>
      <c r="C9" s="23" t="s">
        <v>34</v>
      </c>
      <c r="D9" s="25" t="n">
        <v>46300</v>
      </c>
      <c r="E9" s="25" t="n">
        <v>46313</v>
      </c>
      <c r="F9" s="26" t="n">
        <f aca="false">E9-D9+1</f>
        <v>14</v>
      </c>
      <c r="G9" s="27" t="s">
        <v>63</v>
      </c>
    </row>
    <row r="10" customFormat="false" ht="30" hidden="false" customHeight="true" outlineLevel="0" collapsed="false">
      <c r="A10" s="23" t="n">
        <v>9</v>
      </c>
      <c r="B10" s="24" t="s">
        <v>38</v>
      </c>
      <c r="C10" s="23" t="s">
        <v>26</v>
      </c>
      <c r="D10" s="25" t="n">
        <v>46312</v>
      </c>
      <c r="E10" s="25" t="n">
        <v>46312</v>
      </c>
      <c r="F10" s="26" t="n">
        <f aca="false">E10-D10+1</f>
        <v>1</v>
      </c>
      <c r="G10" s="27" t="s">
        <v>64</v>
      </c>
    </row>
    <row r="11" customFormat="false" ht="30" hidden="false" customHeight="true" outlineLevel="0" collapsed="false">
      <c r="A11" s="23" t="n">
        <v>10</v>
      </c>
      <c r="B11" s="24" t="s">
        <v>39</v>
      </c>
      <c r="C11" s="23" t="s">
        <v>31</v>
      </c>
      <c r="D11" s="25" t="n">
        <v>46314</v>
      </c>
      <c r="E11" s="25" t="n">
        <v>46327</v>
      </c>
      <c r="F11" s="26" t="n">
        <f aca="false">E11-D11+1</f>
        <v>14</v>
      </c>
      <c r="G11" s="27" t="s">
        <v>65</v>
      </c>
    </row>
    <row r="12" customFormat="false" ht="30" hidden="false" customHeight="true" outlineLevel="0" collapsed="false">
      <c r="A12" s="23" t="n">
        <v>11</v>
      </c>
      <c r="B12" s="24" t="s">
        <v>40</v>
      </c>
      <c r="C12" s="23" t="s">
        <v>36</v>
      </c>
      <c r="D12" s="25" t="n">
        <v>46328</v>
      </c>
      <c r="E12" s="25" t="n">
        <v>46334</v>
      </c>
      <c r="F12" s="26" t="n">
        <f aca="false">E12-D12+1</f>
        <v>7</v>
      </c>
      <c r="G12" s="27" t="s">
        <v>66</v>
      </c>
    </row>
    <row r="13" customFormat="false" ht="30" hidden="false" customHeight="true" outlineLevel="0" collapsed="false">
      <c r="A13" s="23" t="n">
        <v>12</v>
      </c>
      <c r="B13" s="24" t="s">
        <v>41</v>
      </c>
      <c r="C13" s="23" t="s">
        <v>34</v>
      </c>
      <c r="D13" s="25" t="n">
        <v>46335</v>
      </c>
      <c r="E13" s="25" t="n">
        <v>46341</v>
      </c>
      <c r="F13" s="26" t="n">
        <f aca="false">E13-D13+1</f>
        <v>7</v>
      </c>
      <c r="G13" s="27" t="s">
        <v>67</v>
      </c>
    </row>
    <row r="14" customFormat="false" ht="30" hidden="false" customHeight="true" outlineLevel="0" collapsed="false">
      <c r="A14" s="23" t="n">
        <v>13</v>
      </c>
      <c r="B14" s="24" t="s">
        <v>42</v>
      </c>
      <c r="C14" s="23" t="s">
        <v>36</v>
      </c>
      <c r="D14" s="25" t="n">
        <v>46335</v>
      </c>
      <c r="E14" s="25" t="n">
        <v>46348</v>
      </c>
      <c r="F14" s="26" t="n">
        <f aca="false">E14-D14+1</f>
        <v>14</v>
      </c>
      <c r="G14" s="27" t="s">
        <v>68</v>
      </c>
    </row>
    <row r="15" customFormat="false" ht="30" hidden="false" customHeight="true" outlineLevel="0" collapsed="false">
      <c r="A15" s="23" t="n">
        <v>14</v>
      </c>
      <c r="B15" s="24" t="s">
        <v>43</v>
      </c>
      <c r="C15" s="23" t="s">
        <v>26</v>
      </c>
      <c r="D15" s="25" t="n">
        <v>46354</v>
      </c>
      <c r="E15" s="25" t="n">
        <v>46354</v>
      </c>
      <c r="F15" s="26" t="n">
        <f aca="false">E15-D15+1</f>
        <v>1</v>
      </c>
      <c r="G15" s="27" t="s">
        <v>69</v>
      </c>
    </row>
    <row r="17" customFormat="false" ht="15" hidden="false" customHeight="false" outlineLevel="0" collapsed="false">
      <c r="B17" s="28" t="s">
        <v>70</v>
      </c>
      <c r="F17" s="29" t="n">
        <f aca="false">E15-D2+1</f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2026-08-27T04:16:44Z</dcterms:created>
  <dc:creator>openpyxl</dc:creator>
  <dc:description/>
  <dc:language>en-US</dc:language>
  <cp:lastModifiedBy/>
  <dcterms:modified xsi:type="dcterms:W3CDTF">2026-08-27T04:16:44Z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